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987"/>
  </bookViews>
  <sheets>
    <sheet name="FEB 26" sheetId="3" r:id="rId1"/>
  </sheets>
  <definedNames>
    <definedName name="_xlnm._FilterDatabase" localSheetId="0" hidden="1">'FEB 26'!$A$1:$V$5</definedName>
    <definedName name="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<sst xmlns="http://schemas.openxmlformats.org/spreadsheetml/2006/main" count="53" uniqueCount="44">
  <si>
    <t>DATE</t>
  </si>
  <si>
    <t>CUSTOMER NAME</t>
  </si>
  <si>
    <t>PRODUCT</t>
  </si>
  <si>
    <t>VEHICLE NO.</t>
  </si>
  <si>
    <t>AGENT</t>
  </si>
  <si>
    <t>REFFRENCE</t>
  </si>
  <si>
    <t>MOB NO</t>
  </si>
  <si>
    <t>POLICY TYPE</t>
  </si>
  <si>
    <t>COMPANY NAME</t>
  </si>
  <si>
    <t>POLICY NO</t>
  </si>
  <si>
    <t xml:space="preserve">START DATE </t>
  </si>
  <si>
    <t>END DATE</t>
  </si>
  <si>
    <t>NET/OD</t>
  </si>
  <si>
    <t>PERCENT</t>
  </si>
  <si>
    <t>BEFORE TDS</t>
  </si>
  <si>
    <t>TDS</t>
  </si>
  <si>
    <t>COMISSION</t>
  </si>
  <si>
    <t>PROFIT</t>
  </si>
  <si>
    <t>DHARMENDER</t>
  </si>
  <si>
    <t>2W</t>
  </si>
  <si>
    <t>HR51BR9537</t>
  </si>
  <si>
    <t>DIRECT</t>
  </si>
  <si>
    <t>FEB RENEWAL DHARMENDER</t>
  </si>
  <si>
    <t>PACKAGE</t>
  </si>
  <si>
    <t>GO DIGIT GENERAL INSURANCE</t>
  </si>
  <si>
    <t>D250305121</t>
  </si>
  <si>
    <t>MUKESH DEVI</t>
  </si>
  <si>
    <t>HEALTH</t>
  </si>
  <si>
    <t>MEDICLAIM</t>
  </si>
  <si>
    <t>RELIANCE GENERAL INSURANCE</t>
  </si>
  <si>
    <t>20042628240008328</t>
  </si>
  <si>
    <t>PREETI</t>
  </si>
  <si>
    <t>PVT CAR</t>
  </si>
  <si>
    <t>DL04CAQ1510</t>
  </si>
  <si>
    <t>ROHIT BKB</t>
  </si>
  <si>
    <t>TP</t>
  </si>
  <si>
    <t>ZURICH KOTAK GENERAL INSURANCE</t>
  </si>
  <si>
    <t>261368836800</t>
  </si>
  <si>
    <t>SARFU DIN</t>
  </si>
  <si>
    <t>HR26CU2223</t>
  </si>
  <si>
    <t>DIRECT/RISHAB</t>
  </si>
  <si>
    <t>SHYAM CAR BAZAR</t>
  </si>
  <si>
    <t>SHRIRAM GENERAL INSURANCE</t>
  </si>
  <si>
    <t>102019/31/26/011444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</si>
</sst>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  <numFmt numFmtId="179" formatCode="0_ "/>
    <numFmt numFmtId="180" formatCode="0.0%"/>
  </numFmts>
  <fonts count="22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 tint="0.39997558519241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15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wrapText="1"/>
    </xf>
    <xf numFmtId="10" fontId="0" fillId="0" borderId="1" xfId="0" applyNumberFormat="1" applyFont="1" applyFill="1" applyBorder="1" applyAlignment="1">
      <alignment horizontal="left"/>
    </xf>
    <xf numFmtId="178" fontId="0" fillId="0" borderId="1" xfId="0" applyNumberFormat="1" applyFont="1" applyFill="1" applyBorder="1" applyAlignment="1">
      <alignment horizontal="left"/>
    </xf>
    <xf numFmtId="0" fontId="1" fillId="4" borderId="1" xfId="0" applyFont="1" applyFill="1" applyBorder="1" applyAlignment="1">
      <alignment horizontal="left"/>
    </xf>
    <xf numFmtId="0" fontId="1" fillId="4" borderId="1" xfId="0" applyFont="1" applyFill="1" applyBorder="1" applyAlignment="1">
      <alignment horizontal="left" wrapText="1"/>
    </xf>
    <xf numFmtId="0" fontId="0" fillId="5" borderId="1" xfId="0" applyFill="1" applyBorder="1"/>
    <xf numFmtId="179" fontId="0" fillId="0" borderId="1" xfId="0" applyNumberFormat="1" applyFont="1" applyFill="1" applyBorder="1" applyAlignment="1">
      <alignment horizontal="left"/>
    </xf>
    <xf numFmtId="180" fontId="0" fillId="0" borderId="1" xfId="0" applyNumberFormat="1" applyFont="1" applyFill="1" applyBorder="1" applyAlignment="1">
      <alignment horizontal="left"/>
    </xf>
    <xf numFmtId="179" fontId="0" fillId="0" borderId="1" xfId="0" applyNumberFormat="1" applyFont="1" applyFill="1" applyBorder="1" applyAlignment="1"/>
    <xf numFmtId="0" fontId="0" fillId="0" borderId="1" xfId="0" applyBorder="1" applyAlignment="1" quotePrefix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5"/>
  <sheetViews>
    <sheetView tabSelected="1" workbookViewId="0">
      <selection activeCell="C9" sqref="C9"/>
    </sheetView>
  </sheetViews>
  <sheetFormatPr defaultColWidth="8.88888888888889" defaultRowHeight="14.4" outlineLevelRow="4"/>
  <cols>
    <col min="1" max="1" width="10.4444444444444"/>
    <col min="2" max="2" width="27.3333333333333" customWidth="1"/>
    <col min="3" max="3" width="12.3333333333333" customWidth="1"/>
    <col min="4" max="4" width="21.2222222222222" customWidth="1"/>
    <col min="5" max="5" width="14.4444444444444" customWidth="1"/>
    <col min="6" max="6" width="29.3333333333333" customWidth="1"/>
    <col min="7" max="7" width="15.4444444444444" customWidth="1"/>
    <col min="8" max="8" width="12.2222222222222" customWidth="1"/>
    <col min="9" max="9" width="45.7777777777778" customWidth="1"/>
    <col min="10" max="10" width="29.2222222222222" customWidth="1"/>
    <col min="11" max="12" width="10.4444444444444"/>
  </cols>
  <sheetData>
    <row r="1" ht="52" customHeight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6" t="s">
        <v>14</v>
      </c>
      <c r="P1" s="5" t="s">
        <v>15</v>
      </c>
      <c r="Q1" s="5" t="s">
        <v>16</v>
      </c>
      <c r="R1" s="9" t="s">
        <v>13</v>
      </c>
      <c r="S1" s="10" t="s">
        <v>14</v>
      </c>
      <c r="T1" s="9" t="s">
        <v>15</v>
      </c>
      <c r="U1" s="9" t="s">
        <v>16</v>
      </c>
      <c r="V1" s="11" t="s">
        <v>17</v>
      </c>
    </row>
    <row r="2" ht="15" customHeight="1" spans="1:22">
      <c r="A2" s="2">
        <v>46055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>
        <v>989925956</v>
      </c>
      <c r="H2" s="3" t="s">
        <v>23</v>
      </c>
      <c r="I2" s="3" t="s">
        <v>24</v>
      </c>
      <c r="J2" s="3" t="s">
        <v>25</v>
      </c>
      <c r="K2" s="2">
        <v>46055</v>
      </c>
      <c r="L2" s="2">
        <f>SUM(K2+364)</f>
        <v>46419</v>
      </c>
      <c r="M2" s="3">
        <v>1099</v>
      </c>
      <c r="N2" s="7">
        <v>0.425</v>
      </c>
      <c r="O2" s="8">
        <f>M2*N2</f>
        <v>467.075</v>
      </c>
      <c r="P2" s="8">
        <f>O2*2%</f>
        <v>9.3415</v>
      </c>
      <c r="Q2" s="12">
        <f>O2-P2</f>
        <v>457.7335</v>
      </c>
      <c r="R2" s="13">
        <v>0</v>
      </c>
      <c r="S2" s="8">
        <f>M2*R2</f>
        <v>0</v>
      </c>
      <c r="T2" s="8">
        <f>S2*2%</f>
        <v>0</v>
      </c>
      <c r="U2" s="12">
        <f>S2-T2</f>
        <v>0</v>
      </c>
      <c r="V2" s="14">
        <f>Q2-U2</f>
        <v>457.7335</v>
      </c>
    </row>
    <row r="3" spans="1:22">
      <c r="A3" s="2">
        <v>46055</v>
      </c>
      <c r="B3" s="3" t="s">
        <v>26</v>
      </c>
      <c r="C3" s="3" t="s">
        <v>27</v>
      </c>
      <c r="D3" s="3"/>
      <c r="E3" s="3" t="s">
        <v>21</v>
      </c>
      <c r="F3" s="3" t="s">
        <v>26</v>
      </c>
      <c r="G3" s="3">
        <v>9899376819</v>
      </c>
      <c r="H3" s="3" t="s">
        <v>28</v>
      </c>
      <c r="I3" s="3" t="s">
        <v>29</v>
      </c>
      <c r="J3" s="15" t="s">
        <v>30</v>
      </c>
      <c r="K3" s="2">
        <v>46055</v>
      </c>
      <c r="L3" s="2">
        <f>SUM(K3+364)</f>
        <v>46419</v>
      </c>
      <c r="M3" s="3">
        <v>36148</v>
      </c>
      <c r="N3" s="7">
        <v>0</v>
      </c>
      <c r="O3" s="8">
        <f>M3*N3</f>
        <v>0</v>
      </c>
      <c r="P3" s="8">
        <f>O3*2%</f>
        <v>0</v>
      </c>
      <c r="Q3" s="12">
        <f>O3-P3</f>
        <v>0</v>
      </c>
      <c r="R3" s="13">
        <v>0</v>
      </c>
      <c r="S3" s="8">
        <f>M3*R3</f>
        <v>0</v>
      </c>
      <c r="T3" s="8">
        <f>S3*2%</f>
        <v>0</v>
      </c>
      <c r="U3" s="12">
        <f>S3-T3</f>
        <v>0</v>
      </c>
      <c r="V3" s="14">
        <f>Q3-U3</f>
        <v>0</v>
      </c>
    </row>
    <row r="4" spans="1:22">
      <c r="A4" s="2">
        <v>46057</v>
      </c>
      <c r="B4" s="3" t="s">
        <v>31</v>
      </c>
      <c r="C4" s="3" t="s">
        <v>32</v>
      </c>
      <c r="D4" s="3" t="s">
        <v>33</v>
      </c>
      <c r="E4" s="3" t="s">
        <v>21</v>
      </c>
      <c r="F4" s="3" t="s">
        <v>34</v>
      </c>
      <c r="G4" s="3">
        <v>9711266203</v>
      </c>
      <c r="H4" s="3" t="s">
        <v>35</v>
      </c>
      <c r="I4" s="3" t="s">
        <v>36</v>
      </c>
      <c r="J4" s="15" t="s">
        <v>37</v>
      </c>
      <c r="K4" s="2">
        <v>46057</v>
      </c>
      <c r="L4" s="2">
        <f>SUM(K4+364)</f>
        <v>46421</v>
      </c>
      <c r="M4" s="3">
        <v>3416</v>
      </c>
      <c r="N4" s="7">
        <v>0.41</v>
      </c>
      <c r="O4" s="8">
        <f>M4*N4</f>
        <v>1400.56</v>
      </c>
      <c r="P4" s="8">
        <f>O4*2%</f>
        <v>28.0112</v>
      </c>
      <c r="Q4" s="12">
        <f>O4-P4</f>
        <v>1372.5488</v>
      </c>
      <c r="R4" s="13">
        <v>0</v>
      </c>
      <c r="S4" s="8">
        <f>M4*R4</f>
        <v>0</v>
      </c>
      <c r="T4" s="8">
        <f>S4*2%</f>
        <v>0</v>
      </c>
      <c r="U4" s="12">
        <f>S4-T4</f>
        <v>0</v>
      </c>
      <c r="V4" s="14">
        <f>Q4-U4</f>
        <v>1372.5488</v>
      </c>
    </row>
    <row r="5" spans="1:22">
      <c r="A5" s="2">
        <v>46057</v>
      </c>
      <c r="B5" s="3" t="s">
        <v>38</v>
      </c>
      <c r="C5" s="3" t="s">
        <v>32</v>
      </c>
      <c r="D5" s="3" t="s">
        <v>39</v>
      </c>
      <c r="E5" s="3" t="s">
        <v>40</v>
      </c>
      <c r="F5" s="3" t="s">
        <v>41</v>
      </c>
      <c r="G5" s="3">
        <v>9812961240</v>
      </c>
      <c r="H5" s="3" t="s">
        <v>23</v>
      </c>
      <c r="I5" s="3" t="s">
        <v>42</v>
      </c>
      <c r="J5" s="3" t="s">
        <v>43</v>
      </c>
      <c r="K5" s="2">
        <v>46057</v>
      </c>
      <c r="L5" s="2">
        <f>SUM(K5+364)</f>
        <v>46421</v>
      </c>
      <c r="M5" s="3">
        <v>5757</v>
      </c>
      <c r="N5" s="7">
        <v>0.313</v>
      </c>
      <c r="O5" s="8">
        <f>M5*N5</f>
        <v>1801.941</v>
      </c>
      <c r="P5" s="8">
        <f>O5*2%</f>
        <v>36.03882</v>
      </c>
      <c r="Q5" s="12">
        <f>O5-P5</f>
        <v>1765.90218</v>
      </c>
      <c r="R5" s="13">
        <v>0.075</v>
      </c>
      <c r="S5" s="8">
        <f>M5*R5</f>
        <v>431.775</v>
      </c>
      <c r="T5" s="8">
        <f>S5*2%</f>
        <v>8.6355</v>
      </c>
      <c r="U5" s="12">
        <f>S5-T5</f>
        <v>423.1395</v>
      </c>
      <c r="V5" s="14">
        <f>Q5-U5</f>
        <v>1342.76268</v>
      </c>
    </row>
  </sheetData>
  <autoFilter xmlns:etc="http://www.wps.cn/officeDocument/2017/etCustomData" ref="A1:V5" etc:filterBottomFollowUsedRange="0">
    <sortState ref="A1:V5">
      <sortCondition ref="A1"/>
    </sortState>
    <extLst/>
  </autoFilter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FEB 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puneet jain</cp:lastModifiedBy>
  <dcterms:created xsi:type="dcterms:W3CDTF">2015-06-05T18:17:00Z</dcterms:created>
  <dcterms:modified xsi:type="dcterms:W3CDTF">2026-02-21T10:22:17Z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82A182968831425F8EDA7F8B23C3F423_13</vt:lpwstr>
  </property>
  <property fmtid="{D5CDD505-2E9C-101B-9397-08002B2CF9AE}" pid="3" name="KSOProductBuildVer">
    <vt:lpwstr>1033-12.2.0.23196</vt:lpwstr>
  </property>
</Properties>
</file>